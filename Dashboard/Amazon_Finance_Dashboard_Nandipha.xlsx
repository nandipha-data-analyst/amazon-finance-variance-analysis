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f0292d34bed0d210/Documents/GitHub/amazon-finance-variance-analysis/Dashboard/"/>
    </mc:Choice>
  </mc:AlternateContent>
  <xr:revisionPtr revIDLastSave="13" documentId="8_{56222C70-AA06-45E3-9D7D-4346B56F0E56}" xr6:coauthVersionLast="47" xr6:coauthVersionMax="47" xr10:uidLastSave="{E92B1E56-81A4-4FAE-8681-324492D79DCA}"/>
  <bookViews>
    <workbookView xWindow="-108" yWindow="-108" windowWidth="23256" windowHeight="12456" activeTab="3" xr2:uid="{00000000-000D-0000-FFFF-FFFF00000000}"/>
  </bookViews>
  <sheets>
    <sheet name="Budget_vs_Actual" sheetId="1" r:id="rId1"/>
    <sheet name="Monthly_Trend" sheetId="2" r:id="rId2"/>
    <sheet name="Executive_Summary" sheetId="3" r:id="rId3"/>
    <sheet name="Pivot_Analysis" sheetId="4" r:id="rId4"/>
  </sheets>
  <definedNames>
    <definedName name="Slicer_Category">#N/A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C3" i="2"/>
  <c r="C4" i="2"/>
  <c r="C5" i="2"/>
  <c r="C6" i="2"/>
  <c r="C7" i="2"/>
  <c r="B3" i="2"/>
  <c r="B4" i="2"/>
  <c r="B5" i="2"/>
  <c r="B6" i="2"/>
  <c r="B7" i="2"/>
  <c r="D2" i="2"/>
  <c r="C2" i="2"/>
  <c r="B2" i="2"/>
</calcChain>
</file>

<file path=xl/sharedStrings.xml><?xml version="1.0" encoding="utf-8"?>
<sst xmlns="http://schemas.openxmlformats.org/spreadsheetml/2006/main" count="89" uniqueCount="26">
  <si>
    <t>Month</t>
  </si>
  <si>
    <t>Category</t>
  </si>
  <si>
    <t>Budget</t>
  </si>
  <si>
    <t>Actual</t>
  </si>
  <si>
    <t>Variance</t>
  </si>
  <si>
    <t>Variance_%</t>
  </si>
  <si>
    <t>Jan</t>
  </si>
  <si>
    <t>Marketing</t>
  </si>
  <si>
    <t>Opertaions</t>
  </si>
  <si>
    <t>Shipping</t>
  </si>
  <si>
    <t>Technology</t>
  </si>
  <si>
    <t>Feb</t>
  </si>
  <si>
    <t>Mar</t>
  </si>
  <si>
    <t>Apr</t>
  </si>
  <si>
    <t>May</t>
  </si>
  <si>
    <t>June</t>
  </si>
  <si>
    <t>Budget_Total</t>
  </si>
  <si>
    <t>Actual_Total</t>
  </si>
  <si>
    <t xml:space="preserve">Key Insight: March peak variance 4,5% over budget  driven by Marketing +12,5% Q1 campaign. Other categories under budget offset it. April shows correction -0,7% due to cost control. </t>
  </si>
  <si>
    <t>Row Labels</t>
  </si>
  <si>
    <t>Grand Total</t>
  </si>
  <si>
    <t>Column Labels</t>
  </si>
  <si>
    <t>Sum of Variance</t>
  </si>
  <si>
    <t>Total Sum of Variance</t>
  </si>
  <si>
    <t>Total Sum of Variance_%</t>
  </si>
  <si>
    <t>Sum of Variance_%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</si>
</sst>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2"/>
      <color rgb="FF222222"/>
      <name val="Arial"/>
      <family val="2"/>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0" fontId="0" fillId="0" borderId="0" xfId="0" applyNumberFormat="1"/>
    <xf numFmtId="0" fontId="1" fillId="0" borderId="0" xfId="0" applyFont="1"/>
    <xf numFmtId="0" fontId="3" fillId="0" borderId="0" xfId="0" applyFont="1"/>
    <xf numFmtId="164" fontId="0" fillId="0" borderId="0" xfId="1" applyNumberFormat="1" applyFont="1"/>
    <xf numFmtId="164" fontId="3" fillId="0" borderId="0" xfId="1" applyNumberFormat="1" applyFont="1"/>
    <xf numFmtId="0" fontId="0" fillId="0" borderId="0" xfId="0" pivotButton="1"/>
    <xf numFmtId="0" fontId="0" fillId="0" borderId="0" xfId="0" applyAlignment="1">
      <alignment horizontal="left"/>
    </xf>
    <xf numFmtId="0" fontId="0" fillId="0" borderId="0" xfId="0" applyNumberFormat="1"/>
  </cellXfs>
  <cellStyles count="2">
    <cellStyle name="Currency" xfId="1" builtinId="4"/>
    <cellStyle name="Normal" xfId="0" builtinId="0"/>
  </cellStyles>
  <dxfs count="2">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Budget</a:t>
            </a:r>
            <a:r>
              <a:rPr lang="en-ZA" baseline="0"/>
              <a:t> vs Actual Trend - Mar peak 4,5% variance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Monthly_Trend!$B$1</c:f>
              <c:strCache>
                <c:ptCount val="1"/>
                <c:pt idx="0">
                  <c:v>Budget_Total</c:v>
                </c:pt>
              </c:strCache>
            </c:strRef>
          </c:tx>
          <c:spPr>
            <a:ln w="28575" cap="rnd">
              <a:solidFill>
                <a:schemeClr val="accent1"/>
              </a:solidFill>
              <a:round/>
            </a:ln>
            <a:effectLst/>
          </c:spPr>
          <c:marker>
            <c:symbol val="none"/>
          </c:marker>
          <c:cat>
            <c:strRef>
              <c:f>Monthly_Trend!$A$2:$A$7</c:f>
              <c:strCache>
                <c:ptCount val="6"/>
                <c:pt idx="0">
                  <c:v>Jan</c:v>
                </c:pt>
                <c:pt idx="1">
                  <c:v>Feb</c:v>
                </c:pt>
                <c:pt idx="2">
                  <c:v>Mar</c:v>
                </c:pt>
                <c:pt idx="3">
                  <c:v>Apr</c:v>
                </c:pt>
                <c:pt idx="4">
                  <c:v>May</c:v>
                </c:pt>
                <c:pt idx="5">
                  <c:v>June</c:v>
                </c:pt>
              </c:strCache>
            </c:strRef>
          </c:cat>
          <c:val>
            <c:numRef>
              <c:f>Monthly_Trend!$B$2:$B$7</c:f>
              <c:numCache>
                <c:formatCode>General</c:formatCode>
                <c:ptCount val="6"/>
                <c:pt idx="0">
                  <c:v>130000</c:v>
                </c:pt>
                <c:pt idx="1">
                  <c:v>130000</c:v>
                </c:pt>
                <c:pt idx="2">
                  <c:v>137000</c:v>
                </c:pt>
                <c:pt idx="3">
                  <c:v>137000</c:v>
                </c:pt>
                <c:pt idx="4">
                  <c:v>133000</c:v>
                </c:pt>
                <c:pt idx="5">
                  <c:v>133000</c:v>
                </c:pt>
              </c:numCache>
            </c:numRef>
          </c:val>
          <c:smooth val="0"/>
          <c:extLst>
            <c:ext xmlns:c16="http://schemas.microsoft.com/office/drawing/2014/chart" uri="{C3380CC4-5D6E-409C-BE32-E72D297353CC}">
              <c16:uniqueId val="{00000000-AA60-492C-ACB8-E10C470A6E2B}"/>
            </c:ext>
          </c:extLst>
        </c:ser>
        <c:ser>
          <c:idx val="1"/>
          <c:order val="1"/>
          <c:tx>
            <c:strRef>
              <c:f>Monthly_Trend!$C$1</c:f>
              <c:strCache>
                <c:ptCount val="1"/>
                <c:pt idx="0">
                  <c:v>Actual_Total</c:v>
                </c:pt>
              </c:strCache>
            </c:strRef>
          </c:tx>
          <c:spPr>
            <a:ln w="28575" cap="rnd">
              <a:solidFill>
                <a:schemeClr val="accent2"/>
              </a:solidFill>
              <a:round/>
            </a:ln>
            <a:effectLst/>
          </c:spPr>
          <c:marker>
            <c:symbol val="none"/>
          </c:marker>
          <c:cat>
            <c:strRef>
              <c:f>Monthly_Trend!$A$2:$A$7</c:f>
              <c:strCache>
                <c:ptCount val="6"/>
                <c:pt idx="0">
                  <c:v>Jan</c:v>
                </c:pt>
                <c:pt idx="1">
                  <c:v>Feb</c:v>
                </c:pt>
                <c:pt idx="2">
                  <c:v>Mar</c:v>
                </c:pt>
                <c:pt idx="3">
                  <c:v>Apr</c:v>
                </c:pt>
                <c:pt idx="4">
                  <c:v>May</c:v>
                </c:pt>
                <c:pt idx="5">
                  <c:v>June</c:v>
                </c:pt>
              </c:strCache>
            </c:strRef>
          </c:cat>
          <c:val>
            <c:numRef>
              <c:f>Monthly_Trend!$C$2:$C$7</c:f>
              <c:numCache>
                <c:formatCode>General</c:formatCode>
                <c:ptCount val="6"/>
                <c:pt idx="0">
                  <c:v>134000</c:v>
                </c:pt>
                <c:pt idx="1">
                  <c:v>135000</c:v>
                </c:pt>
                <c:pt idx="2">
                  <c:v>143125</c:v>
                </c:pt>
                <c:pt idx="3">
                  <c:v>136000</c:v>
                </c:pt>
                <c:pt idx="4">
                  <c:v>133500</c:v>
                </c:pt>
                <c:pt idx="5">
                  <c:v>138000</c:v>
                </c:pt>
              </c:numCache>
            </c:numRef>
          </c:val>
          <c:smooth val="0"/>
          <c:extLst>
            <c:ext xmlns:c16="http://schemas.microsoft.com/office/drawing/2014/chart" uri="{C3380CC4-5D6E-409C-BE32-E72D297353CC}">
              <c16:uniqueId val="{00000001-AA60-492C-ACB8-E10C470A6E2B}"/>
            </c:ext>
          </c:extLst>
        </c:ser>
        <c:dLbls>
          <c:showLegendKey val="0"/>
          <c:showVal val="0"/>
          <c:showCatName val="0"/>
          <c:showSerName val="0"/>
          <c:showPercent val="0"/>
          <c:showBubbleSize val="0"/>
        </c:dLbls>
        <c:smooth val="0"/>
        <c:axId val="1319865872"/>
        <c:axId val="1120755408"/>
      </c:lineChart>
      <c:catAx>
        <c:axId val="131986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55408"/>
        <c:crosses val="autoZero"/>
        <c:auto val="1"/>
        <c:lblAlgn val="ctr"/>
        <c:lblOffset val="100"/>
        <c:noMultiLvlLbl val="0"/>
      </c:catAx>
      <c:valAx>
        <c:axId val="112075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86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1</xdr:row>
      <xdr:rowOff>171450</xdr:rowOff>
    </xdr:from>
    <xdr:to>
      <xdr:col>7</xdr:col>
      <xdr:colOff>45720</xdr:colOff>
      <xdr:row>16</xdr:row>
      <xdr:rowOff>80010</xdr:rowOff>
    </xdr:to>
    <xdr:graphicFrame macro="">
      <xdr:nvGraphicFramePr>
        <xdr:cNvPr id="6" name="Chart 4">
          <a:extLst>
            <a:ext uri="{FF2B5EF4-FFF2-40B4-BE49-F238E27FC236}">
              <a16:creationId xmlns:a16="http://schemas.microsoft.com/office/drawing/2014/main" id="{8E620DD4-302B-54C2-A148-EEF6269BF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487680</xdr:colOff>
      <xdr:row>6</xdr:row>
      <xdr:rowOff>45720</xdr:rowOff>
    </xdr:from>
    <xdr:to>
      <xdr:col>6</xdr:col>
      <xdr:colOff>99060</xdr:colOff>
      <xdr:row>19</xdr:row>
      <xdr:rowOff>135255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20C03031-BAE2-8424-49AB-4DBE85BEEE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32960" y="11430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sa Sulelo" refreshedDate="46267.711868171296" createdVersion="8" refreshedVersion="8" minRefreshableVersion="3" recordCount="24" xr:uid="{D50F16CA-54BD-4CB4-99AA-D08BD2A307B2}">
  <cacheSource type="worksheet">
    <worksheetSource ref="A1:F25" sheet="Budget_vs_Actual"/>
  </cacheSource>
  <cacheFields count="6">
    <cacheField name="Month" numFmtId="0">
      <sharedItems count="6">
        <s v="Jan"/>
        <s v="Feb"/>
        <s v="Mar"/>
        <s v="Apr"/>
        <s v="May"/>
        <s v="June"/>
      </sharedItems>
    </cacheField>
    <cacheField name="Category" numFmtId="0">
      <sharedItems count="4">
        <s v="Marketing"/>
        <s v="Opertaions"/>
        <s v="Shipping"/>
        <s v="Technology"/>
      </sharedItems>
    </cacheField>
    <cacheField name="Budget" numFmtId="0">
      <sharedItems containsSemiMixedTypes="0" containsString="0" containsNumber="1" containsInteger="1" minValue="25000" maxValue="45000"/>
    </cacheField>
    <cacheField name="Actual" numFmtId="0">
      <sharedItems containsSemiMixedTypes="0" containsString="0" containsNumber="1" containsInteger="1" minValue="24000" maxValue="50625"/>
    </cacheField>
    <cacheField name="Variance" numFmtId="0">
      <sharedItems containsSemiMixedTypes="0" containsString="0" containsNumber="1" containsInteger="1" minValue="-2500" maxValue="5625"/>
    </cacheField>
    <cacheField name="Variance_%" numFmtId="10">
      <sharedItems containsSemiMixedTypes="0" containsString="0" containsNumber="1" minValue="-8.3000000000000004E-2" maxValue="0.125"/>
    </cacheField>
  </cacheFields>
  <extLst>
    <ext xmlns:x14="http://schemas.microsoft.com/office/spreadsheetml/2009/9/main" uri="{725AE2AE-9491-48be-B2B4-4EB974FC3084}">
      <x14:pivotCacheDefinition pivotCacheId="703937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0000"/>
    <n v="45000"/>
    <n v="5000"/>
    <n v="0.125"/>
  </r>
  <r>
    <x v="0"/>
    <x v="1"/>
    <n v="30000"/>
    <n v="28000"/>
    <n v="-2000"/>
    <n v="-6.7000000000000004E-2"/>
  </r>
  <r>
    <x v="0"/>
    <x v="2"/>
    <n v="25000"/>
    <n v="26500"/>
    <n v="1500"/>
    <n v="0.06"/>
  </r>
  <r>
    <x v="0"/>
    <x v="3"/>
    <n v="35000"/>
    <n v="34500"/>
    <n v="-500"/>
    <n v="-1.4E-2"/>
  </r>
  <r>
    <x v="1"/>
    <x v="0"/>
    <n v="40000"/>
    <n v="42000"/>
    <n v="2000"/>
    <n v="0.05"/>
  </r>
  <r>
    <x v="1"/>
    <x v="1"/>
    <n v="30000"/>
    <n v="31000"/>
    <n v="1000"/>
    <n v="3.3000000000000002E-2"/>
  </r>
  <r>
    <x v="1"/>
    <x v="2"/>
    <n v="25000"/>
    <n v="24000"/>
    <n v="-1000"/>
    <n v="-0.04"/>
  </r>
  <r>
    <x v="1"/>
    <x v="3"/>
    <n v="35000"/>
    <n v="38000"/>
    <n v="3000"/>
    <n v="8.5999999999999993E-2"/>
  </r>
  <r>
    <x v="2"/>
    <x v="0"/>
    <n v="45000"/>
    <n v="50625"/>
    <n v="5625"/>
    <n v="0.125"/>
  </r>
  <r>
    <x v="2"/>
    <x v="1"/>
    <n v="30000"/>
    <n v="27500"/>
    <n v="-2500"/>
    <n v="-8.3000000000000004E-2"/>
  </r>
  <r>
    <x v="2"/>
    <x v="2"/>
    <n v="27000"/>
    <n v="29000"/>
    <n v="2000"/>
    <n v="7.3999999999999996E-2"/>
  </r>
  <r>
    <x v="2"/>
    <x v="3"/>
    <n v="35000"/>
    <n v="36000"/>
    <n v="1000"/>
    <n v="2.9000000000000001E-2"/>
  </r>
  <r>
    <x v="3"/>
    <x v="0"/>
    <n v="40000"/>
    <n v="39500"/>
    <n v="-500"/>
    <n v="-1.2999999999999999E-2"/>
  </r>
  <r>
    <x v="3"/>
    <x v="1"/>
    <n v="32000"/>
    <n v="30000"/>
    <n v="-2000"/>
    <n v="-6.3E-2"/>
  </r>
  <r>
    <x v="3"/>
    <x v="2"/>
    <n v="25000"/>
    <n v="25500"/>
    <n v="500"/>
    <n v="0.02"/>
  </r>
  <r>
    <x v="3"/>
    <x v="3"/>
    <n v="40000"/>
    <n v="41000"/>
    <n v="1000"/>
    <n v="2.5000000000000001E-2"/>
  </r>
  <r>
    <x v="4"/>
    <x v="0"/>
    <n v="42000"/>
    <n v="46000"/>
    <n v="4000"/>
    <n v="9.5000000000000001E-2"/>
  </r>
  <r>
    <x v="4"/>
    <x v="1"/>
    <n v="30000"/>
    <n v="29500"/>
    <n v="-500"/>
    <n v="-1.7000000000000001E-2"/>
  </r>
  <r>
    <x v="4"/>
    <x v="2"/>
    <n v="26000"/>
    <n v="25000"/>
    <n v="-1000"/>
    <n v="-3.7999999999999999E-2"/>
  </r>
  <r>
    <x v="4"/>
    <x v="3"/>
    <n v="35000"/>
    <n v="33000"/>
    <n v="-2000"/>
    <n v="-5.7000000000000002E-2"/>
  </r>
  <r>
    <x v="5"/>
    <x v="0"/>
    <n v="40000"/>
    <n v="43000"/>
    <n v="3000"/>
    <n v="7.4999999999999997E-2"/>
  </r>
  <r>
    <x v="5"/>
    <x v="1"/>
    <n v="30000"/>
    <n v="28500"/>
    <n v="-1500"/>
    <n v="-0.05"/>
  </r>
  <r>
    <x v="5"/>
    <x v="2"/>
    <n v="25000"/>
    <n v="27000"/>
    <n v="2000"/>
    <n v="0.08"/>
  </r>
  <r>
    <x v="5"/>
    <x v="3"/>
    <n v="38000"/>
    <n v="39500"/>
    <n v="1500"/>
    <n v="3.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763E40-60D5-41A7-A8C5-FFC2FCD9454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7" firstHeaderRow="1" firstDataRow="3" firstDataCol="1"/>
  <pivotFields count="6">
    <pivotField axis="axisCol" showAll="0">
      <items count="7">
        <item x="5"/>
        <item x="0"/>
        <item x="1"/>
        <item x="2"/>
        <item x="3"/>
        <item x="4"/>
        <item t="default"/>
      </items>
    </pivotField>
    <pivotField axis="axisRow" showAll="0">
      <items count="5">
        <item x="0"/>
        <item h="1" x="1"/>
        <item h="1" x="2"/>
        <item h="1" x="3"/>
        <item t="default"/>
      </items>
    </pivotField>
    <pivotField showAll="0"/>
    <pivotField showAll="0"/>
    <pivotField dataField="1" showAll="0"/>
    <pivotField dataField="1" numFmtId="10" showAll="0"/>
  </pivotFields>
  <rowFields count="1">
    <field x="1"/>
  </rowFields>
  <rowItems count="2">
    <i>
      <x/>
    </i>
    <i t="grand">
      <x/>
    </i>
  </rowItems>
  <colFields count="2">
    <field x="0"/>
    <field x="-2"/>
  </colFields>
  <colItems count="14">
    <i>
      <x/>
      <x/>
    </i>
    <i r="1" i="1">
      <x v="1"/>
    </i>
    <i>
      <x v="1"/>
      <x/>
    </i>
    <i r="1" i="1">
      <x v="1"/>
    </i>
    <i>
      <x v="2"/>
      <x/>
    </i>
    <i r="1" i="1">
      <x v="1"/>
    </i>
    <i>
      <x v="3"/>
      <x/>
    </i>
    <i r="1" i="1">
      <x v="1"/>
    </i>
    <i>
      <x v="4"/>
      <x/>
    </i>
    <i r="1" i="1">
      <x v="1"/>
    </i>
    <i>
      <x v="5"/>
      <x/>
    </i>
    <i r="1" i="1">
      <x v="1"/>
    </i>
    <i t="grand">
      <x/>
    </i>
    <i t="grand" i="1">
      <x/>
    </i>
  </colItems>
  <dataFields count="2">
    <dataField name="Sum of Variance" fld="4" baseField="0" baseItem="0"/>
    <dataField name="Sum of Variance_%" fld="5"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077A27-98C9-4577-B601-1B5B1053803F}" sourceName="Category">
  <pivotTables>
    <pivotTable tabId="4" name="PivotTable1"/>
  </pivotTables>
  <data>
    <tabular pivotCacheId="703937987">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D5AFD3-2D39-4176-84D9-E2BA2B4EC868}"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workbookViewId="0">
      <selection activeCell="C21" sqref="A1:F25"/>
    </sheetView>
  </sheetViews>
  <sheetFormatPr defaultRowHeight="14.4" x14ac:dyDescent="0.3"/>
  <cols>
    <col min="2" max="2" width="10.33203125" bestFit="1" customWidth="1"/>
    <col min="6" max="6" width="10.109375" customWidth="1"/>
  </cols>
  <sheetData>
    <row r="1" spans="1:6" x14ac:dyDescent="0.3">
      <c r="A1" s="2" t="s">
        <v>0</v>
      </c>
      <c r="B1" s="2" t="s">
        <v>1</v>
      </c>
      <c r="C1" s="2" t="s">
        <v>2</v>
      </c>
      <c r="D1" s="2" t="s">
        <v>3</v>
      </c>
      <c r="E1" s="2" t="s">
        <v>4</v>
      </c>
      <c r="F1" s="2" t="s">
        <v>5</v>
      </c>
    </row>
    <row r="2" spans="1:6" x14ac:dyDescent="0.3">
      <c r="A2" t="s">
        <v>6</v>
      </c>
      <c r="B2" t="s">
        <v>7</v>
      </c>
      <c r="C2">
        <v>40000</v>
      </c>
      <c r="D2">
        <v>45000</v>
      </c>
      <c r="E2">
        <v>5000</v>
      </c>
      <c r="F2" s="1">
        <v>0.125</v>
      </c>
    </row>
    <row r="3" spans="1:6" x14ac:dyDescent="0.3">
      <c r="A3" t="s">
        <v>6</v>
      </c>
      <c r="B3" t="s">
        <v>8</v>
      </c>
      <c r="C3">
        <v>30000</v>
      </c>
      <c r="D3">
        <v>28000</v>
      </c>
      <c r="E3">
        <v>-2000</v>
      </c>
      <c r="F3" s="1">
        <v>-6.7000000000000004E-2</v>
      </c>
    </row>
    <row r="4" spans="1:6" x14ac:dyDescent="0.3">
      <c r="A4" t="s">
        <v>6</v>
      </c>
      <c r="B4" t="s">
        <v>9</v>
      </c>
      <c r="C4">
        <v>25000</v>
      </c>
      <c r="D4">
        <v>26500</v>
      </c>
      <c r="E4">
        <v>1500</v>
      </c>
      <c r="F4" s="1">
        <v>0.06</v>
      </c>
    </row>
    <row r="5" spans="1:6" x14ac:dyDescent="0.3">
      <c r="A5" t="s">
        <v>6</v>
      </c>
      <c r="B5" t="s">
        <v>10</v>
      </c>
      <c r="C5">
        <v>35000</v>
      </c>
      <c r="D5">
        <v>34500</v>
      </c>
      <c r="E5">
        <v>-500</v>
      </c>
      <c r="F5" s="1">
        <v>-1.4E-2</v>
      </c>
    </row>
    <row r="6" spans="1:6" x14ac:dyDescent="0.3">
      <c r="A6" t="s">
        <v>11</v>
      </c>
      <c r="B6" t="s">
        <v>7</v>
      </c>
      <c r="C6">
        <v>40000</v>
      </c>
      <c r="D6">
        <v>42000</v>
      </c>
      <c r="E6">
        <v>2000</v>
      </c>
      <c r="F6" s="1">
        <v>0.05</v>
      </c>
    </row>
    <row r="7" spans="1:6" x14ac:dyDescent="0.3">
      <c r="A7" t="s">
        <v>11</v>
      </c>
      <c r="B7" t="s">
        <v>8</v>
      </c>
      <c r="C7">
        <v>30000</v>
      </c>
      <c r="D7">
        <v>31000</v>
      </c>
      <c r="E7">
        <v>1000</v>
      </c>
      <c r="F7" s="1">
        <v>3.3000000000000002E-2</v>
      </c>
    </row>
    <row r="8" spans="1:6" x14ac:dyDescent="0.3">
      <c r="A8" t="s">
        <v>11</v>
      </c>
      <c r="B8" t="s">
        <v>9</v>
      </c>
      <c r="C8">
        <v>25000</v>
      </c>
      <c r="D8">
        <v>24000</v>
      </c>
      <c r="E8">
        <v>-1000</v>
      </c>
      <c r="F8" s="1">
        <v>-0.04</v>
      </c>
    </row>
    <row r="9" spans="1:6" x14ac:dyDescent="0.3">
      <c r="A9" t="s">
        <v>11</v>
      </c>
      <c r="B9" t="s">
        <v>10</v>
      </c>
      <c r="C9">
        <v>35000</v>
      </c>
      <c r="D9">
        <v>38000</v>
      </c>
      <c r="E9">
        <v>3000</v>
      </c>
      <c r="F9" s="1">
        <v>8.5999999999999993E-2</v>
      </c>
    </row>
    <row r="10" spans="1:6" x14ac:dyDescent="0.3">
      <c r="A10" t="s">
        <v>12</v>
      </c>
      <c r="B10" t="s">
        <v>7</v>
      </c>
      <c r="C10">
        <v>45000</v>
      </c>
      <c r="D10">
        <v>50625</v>
      </c>
      <c r="E10">
        <v>5625</v>
      </c>
      <c r="F10" s="1">
        <v>0.125</v>
      </c>
    </row>
    <row r="11" spans="1:6" x14ac:dyDescent="0.3">
      <c r="A11" t="s">
        <v>12</v>
      </c>
      <c r="B11" t="s">
        <v>8</v>
      </c>
      <c r="C11">
        <v>30000</v>
      </c>
      <c r="D11">
        <v>27500</v>
      </c>
      <c r="E11">
        <v>-2500</v>
      </c>
      <c r="F11" s="1">
        <v>-8.3000000000000004E-2</v>
      </c>
    </row>
    <row r="12" spans="1:6" x14ac:dyDescent="0.3">
      <c r="A12" t="s">
        <v>12</v>
      </c>
      <c r="B12" t="s">
        <v>9</v>
      </c>
      <c r="C12">
        <v>27000</v>
      </c>
      <c r="D12">
        <v>29000</v>
      </c>
      <c r="E12">
        <v>2000</v>
      </c>
      <c r="F12" s="1">
        <v>7.3999999999999996E-2</v>
      </c>
    </row>
    <row r="13" spans="1:6" x14ac:dyDescent="0.3">
      <c r="A13" t="s">
        <v>12</v>
      </c>
      <c r="B13" t="s">
        <v>10</v>
      </c>
      <c r="C13">
        <v>35000</v>
      </c>
      <c r="D13">
        <v>36000</v>
      </c>
      <c r="E13">
        <v>1000</v>
      </c>
      <c r="F13" s="1">
        <v>2.9000000000000001E-2</v>
      </c>
    </row>
    <row r="14" spans="1:6" x14ac:dyDescent="0.3">
      <c r="A14" t="s">
        <v>13</v>
      </c>
      <c r="B14" t="s">
        <v>7</v>
      </c>
      <c r="C14">
        <v>40000</v>
      </c>
      <c r="D14">
        <v>39500</v>
      </c>
      <c r="E14">
        <v>-500</v>
      </c>
      <c r="F14" s="1">
        <v>-1.2999999999999999E-2</v>
      </c>
    </row>
    <row r="15" spans="1:6" x14ac:dyDescent="0.3">
      <c r="A15" t="s">
        <v>13</v>
      </c>
      <c r="B15" t="s">
        <v>8</v>
      </c>
      <c r="C15">
        <v>32000</v>
      </c>
      <c r="D15">
        <v>30000</v>
      </c>
      <c r="E15">
        <v>-2000</v>
      </c>
      <c r="F15" s="1">
        <v>-6.3E-2</v>
      </c>
    </row>
    <row r="16" spans="1:6" x14ac:dyDescent="0.3">
      <c r="A16" t="s">
        <v>13</v>
      </c>
      <c r="B16" t="s">
        <v>9</v>
      </c>
      <c r="C16">
        <v>25000</v>
      </c>
      <c r="D16">
        <v>25500</v>
      </c>
      <c r="E16">
        <v>500</v>
      </c>
      <c r="F16" s="1">
        <v>0.02</v>
      </c>
    </row>
    <row r="17" spans="1:6" x14ac:dyDescent="0.3">
      <c r="A17" t="s">
        <v>13</v>
      </c>
      <c r="B17" t="s">
        <v>10</v>
      </c>
      <c r="C17">
        <v>40000</v>
      </c>
      <c r="D17">
        <v>41000</v>
      </c>
      <c r="E17">
        <v>1000</v>
      </c>
      <c r="F17" s="1">
        <v>2.5000000000000001E-2</v>
      </c>
    </row>
    <row r="18" spans="1:6" x14ac:dyDescent="0.3">
      <c r="A18" t="s">
        <v>14</v>
      </c>
      <c r="B18" t="s">
        <v>7</v>
      </c>
      <c r="C18">
        <v>42000</v>
      </c>
      <c r="D18">
        <v>46000</v>
      </c>
      <c r="E18">
        <v>4000</v>
      </c>
      <c r="F18" s="1">
        <v>9.5000000000000001E-2</v>
      </c>
    </row>
    <row r="19" spans="1:6" x14ac:dyDescent="0.3">
      <c r="A19" t="s">
        <v>14</v>
      </c>
      <c r="B19" t="s">
        <v>8</v>
      </c>
      <c r="C19">
        <v>30000</v>
      </c>
      <c r="D19">
        <v>29500</v>
      </c>
      <c r="E19">
        <v>-500</v>
      </c>
      <c r="F19" s="1">
        <v>-1.7000000000000001E-2</v>
      </c>
    </row>
    <row r="20" spans="1:6" x14ac:dyDescent="0.3">
      <c r="A20" t="s">
        <v>14</v>
      </c>
      <c r="B20" t="s">
        <v>9</v>
      </c>
      <c r="C20">
        <v>26000</v>
      </c>
      <c r="D20">
        <v>25000</v>
      </c>
      <c r="E20">
        <v>-1000</v>
      </c>
      <c r="F20" s="1">
        <v>-3.7999999999999999E-2</v>
      </c>
    </row>
    <row r="21" spans="1:6" x14ac:dyDescent="0.3">
      <c r="A21" t="s">
        <v>14</v>
      </c>
      <c r="B21" t="s">
        <v>10</v>
      </c>
      <c r="C21">
        <v>35000</v>
      </c>
      <c r="D21">
        <v>33000</v>
      </c>
      <c r="E21">
        <v>-2000</v>
      </c>
      <c r="F21" s="1">
        <v>-5.7000000000000002E-2</v>
      </c>
    </row>
    <row r="22" spans="1:6" x14ac:dyDescent="0.3">
      <c r="A22" t="s">
        <v>15</v>
      </c>
      <c r="B22" t="s">
        <v>7</v>
      </c>
      <c r="C22">
        <v>40000</v>
      </c>
      <c r="D22">
        <v>43000</v>
      </c>
      <c r="E22">
        <v>3000</v>
      </c>
      <c r="F22" s="1">
        <v>7.4999999999999997E-2</v>
      </c>
    </row>
    <row r="23" spans="1:6" x14ac:dyDescent="0.3">
      <c r="A23" t="s">
        <v>15</v>
      </c>
      <c r="B23" t="s">
        <v>8</v>
      </c>
      <c r="C23">
        <v>30000</v>
      </c>
      <c r="D23">
        <v>28500</v>
      </c>
      <c r="E23">
        <v>-1500</v>
      </c>
      <c r="F23" s="1">
        <v>-0.05</v>
      </c>
    </row>
    <row r="24" spans="1:6" x14ac:dyDescent="0.3">
      <c r="A24" t="s">
        <v>15</v>
      </c>
      <c r="B24" t="s">
        <v>9</v>
      </c>
      <c r="C24">
        <v>25000</v>
      </c>
      <c r="D24">
        <v>27000</v>
      </c>
      <c r="E24">
        <v>2000</v>
      </c>
      <c r="F24" s="1">
        <v>0.08</v>
      </c>
    </row>
    <row r="25" spans="1:6" x14ac:dyDescent="0.3">
      <c r="A25" t="s">
        <v>15</v>
      </c>
      <c r="B25" t="s">
        <v>10</v>
      </c>
      <c r="C25">
        <v>38000</v>
      </c>
      <c r="D25">
        <v>39500</v>
      </c>
      <c r="E25">
        <v>1500</v>
      </c>
      <c r="F25" s="1">
        <v>3.9E-2</v>
      </c>
    </row>
  </sheetData>
  <conditionalFormatting sqref="F2:F25">
    <cfRule type="cellIs" dxfId="1" priority="1" operator="lessThan">
      <formula>0.021</formula>
    </cfRule>
    <cfRule type="cellIs" dxfId="0" priority="2" operator="greaterThan">
      <formula>0.021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BA24-B870-49E4-A59B-3C49DF4B6DC8}">
  <dimension ref="A1:D7"/>
  <sheetViews>
    <sheetView workbookViewId="0">
      <selection sqref="A1:C7"/>
    </sheetView>
  </sheetViews>
  <sheetFormatPr defaultRowHeight="14.4" x14ac:dyDescent="0.3"/>
  <cols>
    <col min="2" max="2" width="11.88671875" bestFit="1" customWidth="1"/>
    <col min="3" max="3" width="11.21875" customWidth="1"/>
    <col min="4" max="4" width="10.5546875" bestFit="1" customWidth="1"/>
  </cols>
  <sheetData>
    <row r="1" spans="1:4" x14ac:dyDescent="0.3">
      <c r="A1" t="s">
        <v>0</v>
      </c>
      <c r="B1" t="s">
        <v>16</v>
      </c>
      <c r="C1" t="s">
        <v>17</v>
      </c>
      <c r="D1" s="4" t="s">
        <v>5</v>
      </c>
    </row>
    <row r="2" spans="1:4" ht="15.6" x14ac:dyDescent="0.3">
      <c r="A2" t="s">
        <v>6</v>
      </c>
      <c r="B2" s="3">
        <f>SUMIF(Budget_vs_Actual!A:A,A2,Budget_vs_Actual!C:C)</f>
        <v>130000</v>
      </c>
      <c r="C2" s="3">
        <f>SUMIF(Budget_vs_Actual!A:A,A2,Budget_vs_Actual!D:D)</f>
        <v>134000</v>
      </c>
      <c r="D2" s="5">
        <f>(C2-B2)/B2</f>
        <v>3.0769230769230771E-2</v>
      </c>
    </row>
    <row r="3" spans="1:4" ht="15.6" x14ac:dyDescent="0.3">
      <c r="A3" t="s">
        <v>11</v>
      </c>
      <c r="B3" s="3">
        <f>SUMIF(Budget_vs_Actual!A:A,A3,Budget_vs_Actual!C:C)</f>
        <v>130000</v>
      </c>
      <c r="C3" s="3">
        <f>SUMIF(Budget_vs_Actual!A:A,A3,Budget_vs_Actual!D:D)</f>
        <v>135000</v>
      </c>
      <c r="D3" s="5">
        <f t="shared" ref="D3:D7" si="0">(C3-B3)/B3</f>
        <v>3.8461538461538464E-2</v>
      </c>
    </row>
    <row r="4" spans="1:4" ht="15.6" x14ac:dyDescent="0.3">
      <c r="A4" t="s">
        <v>12</v>
      </c>
      <c r="B4" s="3">
        <f>SUMIF(Budget_vs_Actual!A:A,A4,Budget_vs_Actual!C:C)</f>
        <v>137000</v>
      </c>
      <c r="C4" s="3">
        <f>SUMIF(Budget_vs_Actual!A:A,A4,Budget_vs_Actual!D:D)</f>
        <v>143125</v>
      </c>
      <c r="D4" s="5">
        <f t="shared" si="0"/>
        <v>4.4708029197080293E-2</v>
      </c>
    </row>
    <row r="5" spans="1:4" ht="15.6" x14ac:dyDescent="0.3">
      <c r="A5" t="s">
        <v>13</v>
      </c>
      <c r="B5" s="3">
        <f>SUMIF(Budget_vs_Actual!A:A,A5,Budget_vs_Actual!C:C)</f>
        <v>137000</v>
      </c>
      <c r="C5" s="3">
        <f>SUMIF(Budget_vs_Actual!A:A,A5,Budget_vs_Actual!D:D)</f>
        <v>136000</v>
      </c>
      <c r="D5" s="5">
        <f t="shared" si="0"/>
        <v>-7.2992700729927005E-3</v>
      </c>
    </row>
    <row r="6" spans="1:4" ht="15.6" x14ac:dyDescent="0.3">
      <c r="A6" t="s">
        <v>14</v>
      </c>
      <c r="B6" s="3">
        <f>SUMIF(Budget_vs_Actual!A:A,A6,Budget_vs_Actual!C:C)</f>
        <v>133000</v>
      </c>
      <c r="C6" s="3">
        <f>SUMIF(Budget_vs_Actual!A:A,A6,Budget_vs_Actual!D:D)</f>
        <v>133500</v>
      </c>
      <c r="D6" s="5">
        <f t="shared" si="0"/>
        <v>3.7593984962406013E-3</v>
      </c>
    </row>
    <row r="7" spans="1:4" ht="15.6" x14ac:dyDescent="0.3">
      <c r="A7" t="s">
        <v>15</v>
      </c>
      <c r="B7" s="3">
        <f>SUMIF(Budget_vs_Actual!A:A,A7,Budget_vs_Actual!C:C)</f>
        <v>133000</v>
      </c>
      <c r="C7" s="3">
        <f>SUMIF(Budget_vs_Actual!A:A,A7,Budget_vs_Actual!D:D)</f>
        <v>138000</v>
      </c>
      <c r="D7" s="5">
        <f t="shared" si="0"/>
        <v>3.7593984962406013E-2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D6E0-B54E-4E77-9658-8C63CC93E355}">
  <dimension ref="A1:C9"/>
  <sheetViews>
    <sheetView workbookViewId="0">
      <selection activeCell="M18" sqref="M18"/>
    </sheetView>
  </sheetViews>
  <sheetFormatPr defaultRowHeight="14.4" x14ac:dyDescent="0.3"/>
  <cols>
    <col min="3" max="3" width="12.77734375" customWidth="1"/>
  </cols>
  <sheetData>
    <row r="1" spans="1:3" x14ac:dyDescent="0.3">
      <c r="A1" t="s">
        <v>18</v>
      </c>
    </row>
    <row r="4" spans="1:3" ht="15.6" x14ac:dyDescent="0.3">
      <c r="B4" s="3"/>
      <c r="C4" s="3"/>
    </row>
    <row r="5" spans="1:3" ht="15.6" x14ac:dyDescent="0.3">
      <c r="B5" s="3"/>
      <c r="C5" s="3"/>
    </row>
    <row r="6" spans="1:3" ht="15.6" x14ac:dyDescent="0.3">
      <c r="B6" s="3"/>
      <c r="C6" s="3"/>
    </row>
    <row r="7" spans="1:3" ht="15.6" x14ac:dyDescent="0.3">
      <c r="B7" s="3"/>
      <c r="C7" s="3"/>
    </row>
    <row r="8" spans="1:3" ht="15.6" x14ac:dyDescent="0.3">
      <c r="B8" s="3"/>
      <c r="C8" s="3"/>
    </row>
    <row r="9" spans="1:3" ht="15.6" x14ac:dyDescent="0.3">
      <c r="B9" s="3"/>
      <c r="C9"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CA393-60A9-43F3-92C8-062AAB44B846}">
  <dimension ref="A3:O7"/>
  <sheetViews>
    <sheetView tabSelected="1" workbookViewId="0">
      <selection activeCell="A3" sqref="A3"/>
    </sheetView>
  </sheetViews>
  <sheetFormatPr defaultRowHeight="14.4" x14ac:dyDescent="0.3"/>
  <cols>
    <col min="1" max="1" width="12.5546875" bestFit="1" customWidth="1"/>
    <col min="2" max="2" width="15.5546875" bestFit="1" customWidth="1"/>
    <col min="3" max="3" width="17.44140625" bestFit="1" customWidth="1"/>
    <col min="4" max="4" width="14.88671875" bestFit="1" customWidth="1"/>
    <col min="5" max="5" width="17.44140625" bestFit="1" customWidth="1"/>
    <col min="6" max="6" width="14.88671875" bestFit="1" customWidth="1"/>
    <col min="7" max="7" width="17.44140625" bestFit="1" customWidth="1"/>
    <col min="8" max="8" width="14.88671875" bestFit="1" customWidth="1"/>
    <col min="9" max="9" width="17.44140625" bestFit="1" customWidth="1"/>
    <col min="10" max="10" width="14.88671875" bestFit="1" customWidth="1"/>
    <col min="11" max="11" width="17.44140625" bestFit="1" customWidth="1"/>
    <col min="12" max="12" width="14.88671875" bestFit="1" customWidth="1"/>
    <col min="13" max="13" width="17.44140625" bestFit="1" customWidth="1"/>
    <col min="14" max="14" width="19.6640625" bestFit="1" customWidth="1"/>
    <col min="15" max="15" width="22.21875" bestFit="1" customWidth="1"/>
  </cols>
  <sheetData>
    <row r="3" spans="1:15" x14ac:dyDescent="0.3">
      <c r="B3" s="6" t="s">
        <v>21</v>
      </c>
    </row>
    <row r="4" spans="1:15" x14ac:dyDescent="0.3">
      <c r="B4" t="s">
        <v>15</v>
      </c>
      <c r="D4" t="s">
        <v>6</v>
      </c>
      <c r="F4" t="s">
        <v>11</v>
      </c>
      <c r="H4" t="s">
        <v>12</v>
      </c>
      <c r="J4" t="s">
        <v>13</v>
      </c>
      <c r="L4" t="s">
        <v>14</v>
      </c>
      <c r="N4" t="s">
        <v>23</v>
      </c>
      <c r="O4" t="s">
        <v>24</v>
      </c>
    </row>
    <row r="5" spans="1:15" x14ac:dyDescent="0.3">
      <c r="A5" s="6" t="s">
        <v>19</v>
      </c>
      <c r="B5" t="s">
        <v>22</v>
      </c>
      <c r="C5" t="s">
        <v>25</v>
      </c>
      <c r="D5" t="s">
        <v>22</v>
      </c>
      <c r="E5" t="s">
        <v>25</v>
      </c>
      <c r="F5" t="s">
        <v>22</v>
      </c>
      <c r="G5" t="s">
        <v>25</v>
      </c>
      <c r="H5" t="s">
        <v>22</v>
      </c>
      <c r="I5" t="s">
        <v>25</v>
      </c>
      <c r="J5" t="s">
        <v>22</v>
      </c>
      <c r="K5" t="s">
        <v>25</v>
      </c>
      <c r="L5" t="s">
        <v>22</v>
      </c>
      <c r="M5" t="s">
        <v>25</v>
      </c>
    </row>
    <row r="6" spans="1:15" x14ac:dyDescent="0.3">
      <c r="A6" s="7" t="s">
        <v>7</v>
      </c>
      <c r="B6" s="8">
        <v>3000</v>
      </c>
      <c r="C6" s="1">
        <v>7.4999999999999997E-2</v>
      </c>
      <c r="D6" s="8">
        <v>5000</v>
      </c>
      <c r="E6" s="1">
        <v>0.125</v>
      </c>
      <c r="F6" s="8">
        <v>2000</v>
      </c>
      <c r="G6" s="1">
        <v>0.05</v>
      </c>
      <c r="H6" s="8">
        <v>5625</v>
      </c>
      <c r="I6" s="1">
        <v>0.125</v>
      </c>
      <c r="J6" s="8">
        <v>-500</v>
      </c>
      <c r="K6" s="1">
        <v>-1.2999999999999999E-2</v>
      </c>
      <c r="L6" s="8">
        <v>4000</v>
      </c>
      <c r="M6" s="1">
        <v>9.5000000000000001E-2</v>
      </c>
      <c r="N6" s="8">
        <v>19125</v>
      </c>
      <c r="O6" s="1">
        <v>0.45699999999999996</v>
      </c>
    </row>
    <row r="7" spans="1:15" x14ac:dyDescent="0.3">
      <c r="A7" s="7" t="s">
        <v>20</v>
      </c>
      <c r="B7" s="8">
        <v>3000</v>
      </c>
      <c r="C7" s="1">
        <v>7.4999999999999997E-2</v>
      </c>
      <c r="D7" s="8">
        <v>5000</v>
      </c>
      <c r="E7" s="1">
        <v>0.125</v>
      </c>
      <c r="F7" s="8">
        <v>2000</v>
      </c>
      <c r="G7" s="1">
        <v>0.05</v>
      </c>
      <c r="H7" s="8">
        <v>5625</v>
      </c>
      <c r="I7" s="1">
        <v>0.125</v>
      </c>
      <c r="J7" s="8">
        <v>-500</v>
      </c>
      <c r="K7" s="1">
        <v>-1.2999999999999999E-2</v>
      </c>
      <c r="L7" s="8">
        <v>4000</v>
      </c>
      <c r="M7" s="1">
        <v>9.5000000000000001E-2</v>
      </c>
      <c r="N7" s="8">
        <v>19125</v>
      </c>
      <c r="O7" s="1">
        <v>0.45699999999999996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Budget_vs_Actual</vt:lpstr>
      <vt:lpstr>Monthly_Trend</vt:lpstr>
      <vt:lpstr>Executive_Summary</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Sisa Sulelo</dc:creator>
  <cp:lastModifiedBy>Nandipha Dondashe</cp:lastModifiedBy>
  <dcterms:created xsi:type="dcterms:W3CDTF">2015-06-05T18:17:20Z</dcterms:created>
  <dcterms:modified xsi:type="dcterms:W3CDTF">2026-09-02T15:10:54Z</dcterms:modified>
</cp:coreProperties>
</file>